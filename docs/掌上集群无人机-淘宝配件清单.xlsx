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机BOM清单" sheetId="1" state="visible" r:id="rId1"/>
    <sheet xmlns:r="http://schemas.openxmlformats.org/officeDocument/2006/relationships" name="整机规格（论文）" sheetId="2" state="visible" r:id="rId2"/>
    <sheet xmlns:r="http://schemas.openxmlformats.org/officeDocument/2006/relationships" name="参考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sz val="14"/>
    </font>
    <font>
      <color rgb="00808080"/>
      <sz val="10"/>
    </font>
    <font>
      <b val="1"/>
      <color rgb="00FFFFFF"/>
      <sz val="11"/>
    </font>
    <font>
      <b val="1"/>
    </font>
    <font>
      <color rgb="000563C1"/>
      <u val="single"/>
    </font>
    <font>
      <b val="1"/>
      <color rgb="00C00000"/>
    </font>
    <font>
      <b val="1"/>
      <sz val="12"/>
    </font>
    <font/>
  </fonts>
  <fills count="10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/>
    </xf>
    <xf numFmtId="3" fontId="6" fillId="0" borderId="1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164" fontId="0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.taobao.com/search?q=3%E5%AF%B8%20%E7%A9%BF%E8%B6%8A%E6%9C%BA%E6%9C%BA%E6%9E%B6%20%E7%A2%B3%E7%BA%A4%E7%BB%B4" TargetMode="External" Id="rId1"/><Relationship Type="http://schemas.openxmlformats.org/officeDocument/2006/relationships/hyperlink" Target="https://s.taobao.com/search?q=iFlight%20XING2%201404%20%E7%94%B5%E6%9C%BA" TargetMode="External" Id="rId2"/><Relationship Type="http://schemas.openxmlformats.org/officeDocument/2006/relationships/hyperlink" Target="https://s.taobao.com/search?q=Gemfan%203016%20%E4%B8%89%E5%8F%B6%E6%A1%A8" TargetMode="External" Id="rId3"/><Relationship Type="http://schemas.openxmlformats.org/officeDocument/2006/relationships/hyperlink" Target="https://s.taobao.com/search?q=%E5%9B%9B%E5%90%88%E4%B8%80%E7%94%B5%E8%B0%83%2020A%2020x20" TargetMode="External" Id="rId4"/><Relationship Type="http://schemas.openxmlformats.org/officeDocument/2006/relationships/hyperlink" Target="https://s.taobao.com/search?q=4S%20850mAh%20%E9%94%82%E7%94%B5%E6%B1%A0%20%E9%AB%98%E5%80%8D%E7%8E%87" TargetMode="External" Id="rId5"/><Relationship Type="http://schemas.openxmlformats.org/officeDocument/2006/relationships/hyperlink" Target="https://s.taobao.com/search?q=NxtPX4v2%20%E7%B1%B3%E7%A9%BA" TargetMode="External" Id="rId6"/><Relationship Type="http://schemas.openxmlformats.org/officeDocument/2006/relationships/hyperlink" Target="https://s.taobao.com/search?q=8GB%20TF%E5%8D%A1" TargetMode="External" Id="rId7"/><Relationship Type="http://schemas.openxmlformats.org/officeDocument/2006/relationships/hyperlink" Target="https://s.taobao.com/search?q=Jetson%20Xavier%20NX%20%E6%A8%A1%E5%9D%97" TargetMode="External" Id="rId8"/><Relationship Type="http://schemas.openxmlformats.org/officeDocument/2006/relationships/hyperlink" Target="https://s.taobao.com/search?q=RealSense%20D430%20%E6%A8%A1%E7%BB%84" TargetMode="External" Id="rId9"/><Relationship Type="http://schemas.openxmlformats.org/officeDocument/2006/relationships/hyperlink" Target="https://s.taobao.com/search?q=Nooploop%20LinkTrack%20P" TargetMode="External" Id="rId10"/><Relationship Type="http://schemas.openxmlformats.org/officeDocument/2006/relationships/hyperlink" Target="https://s.taobao.com/search?q=USB%E7%BD%91%E5%8D%A1%20%E9%AB%98%E5%8A%9F%E7%8E%87%20%E5%A4%96%E7%BD%AE%E5%A4%A9%E7%BA%BF" TargetMode="External" Id="rId11"/><Relationship Type="http://schemas.openxmlformats.org/officeDocument/2006/relationships/hyperlink" Target="https://s.taobao.com/search?q=ELRS%202.4G%20%E6%8E%A5%E6%94%B6%E6%9C%BA" TargetMode="External" Id="rId12"/><Relationship Type="http://schemas.openxmlformats.org/officeDocument/2006/relationships/hyperlink" Target="https://s.taobao.com/search?q=RadioMaster%20Pocket%20ELRS" TargetMode="External" Id="rId13"/><Relationship Type="http://schemas.openxmlformats.org/officeDocument/2006/relationships/hyperlink" Target="https://s.taobao.com/search?q=ISDT%2060AC" TargetMode="External" Id="rId14"/><Relationship Type="http://schemas.openxmlformats.org/officeDocument/2006/relationships/hyperlink" Target="https://s.taobao.com/search?q=XT30%20%E6%8F%92%E5%A4%B4%20%E7%A1%85%E8%83%B6%E7%BA%BF%20%E9%93%9C%E6%9F%B1" TargetMode="External" Id="rId15"/><Relationship Type="http://schemas.openxmlformats.org/officeDocument/2006/relationships/hyperlink" Target="https://s.taobao.com/search?q=Nooploop%20LinkTrack%20P" TargetMode="External" Id="rId16"/></Relationships>
</file>

<file path=xl/worksheets/_rels/sheet3.xml.rels><Relationships xmlns="http://schemas.openxmlformats.org/package/2006/relationships"><Relationship Type="http://schemas.openxmlformats.org/officeDocument/2006/relationships/hyperlink" Target="https://zhepeiwang.github.io/pubs/sr_2022_swarm.pdf" TargetMode="External" Id="rId1"/><Relationship Type="http://schemas.openxmlformats.org/officeDocument/2006/relationships/hyperlink" Target="https://www.science.org/doi/10.1126/scirobotics.abm5954" TargetMode="External" Id="rId2"/><Relationship Type="http://schemas.openxmlformats.org/officeDocument/2006/relationships/hyperlink" Target="https://github.com/HKUST-Aerial-Robotics/Nxt-FC" TargetMode="External" Id="rId3"/><Relationship Type="http://schemas.openxmlformats.org/officeDocument/2006/relationships/hyperlink" Target="https://micoair.cn" TargetMode="External" Id="rId4"/><Relationship Type="http://schemas.openxmlformats.org/officeDocument/2006/relationships/hyperlink" Target="https://www.nooploop.com" TargetMode="External" Id="rId5"/><Relationship Type="http://schemas.openxmlformats.org/officeDocument/2006/relationships/hyperlink" Target="https://github.com/ZJU-FAST-Lab/EGO-Planner-v2" TargetMode="External" Id="rId6"/><Relationship Type="http://schemas.openxmlformats.org/officeDocument/2006/relationships/hyperlink" Target="https://github.com/ZJU-FAST-Lab/Swarm-Formation" TargetMode="External" Id="rId7"/><Relationship Type="http://schemas.openxmlformats.org/officeDocument/2006/relationships/hyperlink" Target="https://github.com/ZJU-FAST-Lab/Fast-Drone-250" TargetMode="External" Id="rId8"/><Relationship Type="http://schemas.openxmlformats.org/officeDocument/2006/relationships/hyperlink" Target="https://s.taobao.com/search?q=Jetson%20Orin%20Nano%20%E5%A5%97%E4%BB%B6" TargetMode="External" Id="rId9"/><Relationship Type="http://schemas.openxmlformats.org/officeDocument/2006/relationships/hyperlink" Target="https://s.taobao.com/search?q=3%E5%AF%B8%20%E7%A9%BF%E8%B6%8A%E6%9C%BA%E6%9C%BA%E6%9E%B6%20%E7%A2%B3%E7%BA%A4%E7%BB%B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1" customWidth="1" min="3" max="3"/>
    <col width="26" customWidth="1" min="4" max="4"/>
    <col width="32" customWidth="1" min="5" max="5"/>
    <col width="14" customWidth="1" min="6" max="6"/>
    <col width="5" customWidth="1" min="7" max="7"/>
    <col width="11" customWidth="1" min="8" max="8"/>
    <col width="10" customWidth="1" min="9" max="9"/>
    <col width="30" customWidth="1" min="10" max="10"/>
  </cols>
  <sheetData>
    <row r="1">
      <c r="A1" s="1" t="inlineStr">
        <is>
          <t>掌上集群无人机淘宝配件清单（复现 Sci. Robot. abm5954 / ZJU FAST-Lab）</t>
        </is>
      </c>
    </row>
    <row r="2">
      <c r="A2" s="2" t="inlineStr">
        <is>
          <t>规格来源：论文 "Palm-sized drone hardware" 一节 + 补充材料 Table S7（整机 293.5 g）。价格为 2026-10 淘宝参考价，下单前以店铺实时价为准。</t>
        </is>
      </c>
    </row>
    <row r="3">
      <c r="A3" s="3" t="inlineStr">
        <is>
          <t>序号</t>
        </is>
      </c>
      <c r="B3" s="3" t="inlineStr">
        <is>
          <t>类别</t>
        </is>
      </c>
      <c r="C3" s="3" t="inlineStr">
        <is>
          <t>部件</t>
        </is>
      </c>
      <c r="D3" s="3" t="inlineStr">
        <is>
          <t>论文原配置</t>
        </is>
      </c>
      <c r="E3" s="3" t="inlineStr">
        <is>
          <t>淘宝购买/替代方案</t>
        </is>
      </c>
      <c r="F3" s="3" t="inlineStr">
        <is>
          <t>淘宝链接</t>
        </is>
      </c>
      <c r="G3" s="3" t="inlineStr">
        <is>
          <t>数量</t>
        </is>
      </c>
      <c r="H3" s="3" t="inlineStr">
        <is>
          <t>参考单价(¥)</t>
        </is>
      </c>
      <c r="I3" s="3" t="inlineStr">
        <is>
          <t>小计(¥)</t>
        </is>
      </c>
      <c r="J3" s="3" t="inlineStr">
        <is>
          <t>备注</t>
        </is>
      </c>
    </row>
    <row r="4">
      <c r="A4" s="4" t="n">
        <v>1</v>
      </c>
      <c r="B4" s="5" t="inlineStr">
        <is>
          <t>动力系统</t>
        </is>
      </c>
      <c r="C4" s="6" t="inlineStr">
        <is>
          <t>机架</t>
        </is>
      </c>
      <c r="D4" s="7" t="inlineStr">
        <is>
          <t>自研 114mm 碳纤维（桨下置，无零售）</t>
        </is>
      </c>
      <c r="E4" s="7" t="inlineStr">
        <is>
          <t>3寸穿越机机架 / cinewhoop 下桨式</t>
        </is>
      </c>
      <c r="F4" s="8" t="inlineStr">
        <is>
          <t>打开淘宝搜索 ↗</t>
        </is>
      </c>
      <c r="G4" s="4" t="n">
        <v>1</v>
      </c>
      <c r="H4" s="9" t="n">
        <v>100</v>
      </c>
      <c r="I4" s="10">
        <f>G4*H4</f>
        <v/>
      </c>
      <c r="J4" s="7" t="inlineStr">
        <is>
          <t>选带 20×20 安装位、可放电池仓</t>
        </is>
      </c>
    </row>
    <row r="5">
      <c r="A5" s="4" t="n">
        <v>2</v>
      </c>
      <c r="B5" s="5" t="inlineStr">
        <is>
          <t>动力系统</t>
        </is>
      </c>
      <c r="C5" s="6" t="inlineStr">
        <is>
          <t>无刷电机</t>
        </is>
      </c>
      <c r="D5" s="7" t="inlineStr">
        <is>
          <t>1404 6000KV ×4</t>
        </is>
      </c>
      <c r="E5" s="7" t="inlineStr">
        <is>
          <t>iFlight XING2 1404 / SpeedyBee 1404 V2（4S）</t>
        </is>
      </c>
      <c r="F5" s="8" t="inlineStr">
        <is>
          <t>打开淘宝搜索 ↗</t>
        </is>
      </c>
      <c r="G5" s="4" t="n">
        <v>4</v>
      </c>
      <c r="H5" s="9" t="n">
        <v>90</v>
      </c>
      <c r="I5" s="10">
        <f>G5*H5</f>
        <v/>
      </c>
      <c r="J5" s="7" t="inlineStr">
        <is>
          <t>推重比按 2.0+ 校核</t>
        </is>
      </c>
    </row>
    <row r="6">
      <c r="A6" s="4" t="n">
        <v>3</v>
      </c>
      <c r="B6" s="5" t="inlineStr">
        <is>
          <t>动力系统</t>
        </is>
      </c>
      <c r="C6" s="6" t="inlineStr">
        <is>
          <t>螺旋桨</t>
        </is>
      </c>
      <c r="D6" s="7" t="inlineStr">
        <is>
          <t>3寸三叶（底装）</t>
        </is>
      </c>
      <c r="E6" s="7" t="inlineStr">
        <is>
          <t>Gemfan 3016 三叶 等</t>
        </is>
      </c>
      <c r="F6" s="8" t="inlineStr">
        <is>
          <t>打开淘宝搜索 ↗</t>
        </is>
      </c>
      <c r="G6" s="4" t="n">
        <v>6</v>
      </c>
      <c r="H6" s="9" t="n">
        <v>15</v>
      </c>
      <c r="I6" s="10">
        <f>G6*H6</f>
        <v/>
      </c>
      <c r="J6" s="7" t="inlineStr">
        <is>
          <t>含备用桨</t>
        </is>
      </c>
    </row>
    <row r="7">
      <c r="A7" s="4" t="n">
        <v>4</v>
      </c>
      <c r="B7" s="5" t="inlineStr">
        <is>
          <t>动力系统</t>
        </is>
      </c>
      <c r="C7" s="6" t="inlineStr">
        <is>
          <t>电调</t>
        </is>
      </c>
      <c r="D7" s="7" t="inlineStr">
        <is>
          <t>四合一 15A</t>
        </is>
      </c>
      <c r="E7" s="7" t="inlineStr">
        <is>
          <t>四合一电调 20A 20×20</t>
        </is>
      </c>
      <c r="F7" s="8" t="inlineStr">
        <is>
          <t>打开淘宝搜索 ↗</t>
        </is>
      </c>
      <c r="G7" s="4" t="n">
        <v>1</v>
      </c>
      <c r="H7" s="9" t="n">
        <v>150</v>
      </c>
      <c r="I7" s="10">
        <f>G7*H7</f>
        <v/>
      </c>
      <c r="J7" s="7" t="inlineStr">
        <is>
          <t>若买 NxtPX4v2 四合一堆叠套装可省</t>
        </is>
      </c>
    </row>
    <row r="8">
      <c r="A8" s="4" t="n">
        <v>5</v>
      </c>
      <c r="B8" s="5" t="inlineStr">
        <is>
          <t>动力系统</t>
        </is>
      </c>
      <c r="C8" s="6" t="inlineStr">
        <is>
          <t>电池</t>
        </is>
      </c>
      <c r="D8" s="7" t="inlineStr">
        <is>
          <t>2×2S 3000mAh 串联（~100 g）</t>
        </is>
      </c>
      <c r="E8" s="7" t="inlineStr">
        <is>
          <t>4S 850–1500mAh 高倍率 LiPo 或 4S 3000mAh 18650 锂电组</t>
        </is>
      </c>
      <c r="F8" s="8" t="inlineStr">
        <is>
          <t>打开淘宝搜索 ↗</t>
        </is>
      </c>
      <c r="G8" s="4" t="n">
        <v>2</v>
      </c>
      <c r="H8" s="9" t="n">
        <v>100</v>
      </c>
      <c r="I8" s="10">
        <f>G8*H8</f>
        <v/>
      </c>
      <c r="J8" s="7" t="inlineStr">
        <is>
          <t>XT30 插头；论文电池能量密度不自洽，见"整机规格"表</t>
        </is>
      </c>
    </row>
    <row r="9">
      <c r="A9" s="4" t="n">
        <v>6</v>
      </c>
      <c r="B9" s="11" t="inlineStr">
        <is>
          <t>飞控</t>
        </is>
      </c>
      <c r="C9" s="6" t="inlineStr">
        <is>
          <t>飞控</t>
        </is>
      </c>
      <c r="D9" s="7" t="inlineStr">
        <is>
          <t>自研 nano FCU：STM32H7+BMI088，PX4</t>
        </is>
      </c>
      <c r="E9" s="7" t="inlineStr">
        <is>
          <t>NxtPX4v2（米空科技 Micoair 淘宝官方店）</t>
        </is>
      </c>
      <c r="F9" s="8" t="inlineStr">
        <is>
          <t>打开淘宝搜索 ↗</t>
        </is>
      </c>
      <c r="G9" s="4" t="n">
        <v>1</v>
      </c>
      <c r="H9" s="9" t="n">
        <v>400</v>
      </c>
      <c r="I9" s="10">
        <f>G9*H9</f>
        <v/>
      </c>
      <c r="J9" s="7" t="inlineStr">
        <is>
          <t>论文同款飞控量产版；可选含 4in1 电调堆叠</t>
        </is>
      </c>
    </row>
    <row r="10">
      <c r="A10" s="4" t="n">
        <v>7</v>
      </c>
      <c r="B10" s="11" t="inlineStr">
        <is>
          <t>飞控</t>
        </is>
      </c>
      <c r="C10" s="6" t="inlineStr">
        <is>
          <t>SD 卡</t>
        </is>
      </c>
      <c r="D10" s="7" t="inlineStr">
        <is>
          <t>8GB（飞控日志）</t>
        </is>
      </c>
      <c r="E10" s="7" t="inlineStr">
        <is>
          <t>8GB TF 卡</t>
        </is>
      </c>
      <c r="F10" s="8" t="inlineStr">
        <is>
          <t>打开淘宝搜索 ↗</t>
        </is>
      </c>
      <c r="G10" s="4" t="n">
        <v>1</v>
      </c>
      <c r="H10" s="9" t="n">
        <v>20</v>
      </c>
      <c r="I10" s="10">
        <f>G10*H10</f>
        <v/>
      </c>
      <c r="J10" s="7" t="inlineStr"/>
    </row>
    <row r="11">
      <c r="A11" s="4" t="n">
        <v>8</v>
      </c>
      <c r="B11" s="12" t="inlineStr">
        <is>
          <t>机载计算机</t>
        </is>
      </c>
      <c r="C11" s="6" t="inlineStr">
        <is>
          <t>机载计算机</t>
        </is>
      </c>
      <c r="D11" s="7" t="inlineStr">
        <is>
          <t>NVIDIA Jetson Xavier NX（6核/384CUDA/8GB）</t>
        </is>
      </c>
      <c r="E11" s="7" t="inlineStr">
        <is>
          <t>二手 Xavier NX；或 Orin Nano 8GB 套件（~¥3300）+ 国产载板（~¥299）</t>
        </is>
      </c>
      <c r="F11" s="8" t="inlineStr">
        <is>
          <t>打开淘宝搜索 ↗</t>
        </is>
      </c>
      <c r="G11" s="4" t="n">
        <v>1</v>
      </c>
      <c r="H11" s="9" t="n">
        <v>2000</v>
      </c>
      <c r="I11" s="10">
        <f>G11*H11</f>
        <v/>
      </c>
      <c r="J11" s="7" t="inlineStr">
        <is>
          <t>Xavier NX 已停产；换 Orin Nano 按约 ¥3600 计（Orin 搜索：Jetson Orin Nano 套件）</t>
        </is>
      </c>
    </row>
    <row r="12">
      <c r="A12" s="4" t="n">
        <v>9</v>
      </c>
      <c r="B12" s="13" t="inlineStr">
        <is>
          <t>传感器</t>
        </is>
      </c>
      <c r="C12" s="6" t="inlineStr">
        <is>
          <t>深度相机</t>
        </is>
      </c>
      <c r="D12" s="7" t="inlineStr">
        <is>
          <t>Intel RealSense D430 模组（仅 19 g）</t>
        </is>
      </c>
      <c r="E12" s="7" t="inlineStr">
        <is>
          <t>RealSense D430 模组 + D4v3 转接板</t>
        </is>
      </c>
      <c r="F12" s="8" t="inlineStr">
        <is>
          <t>打开淘宝搜索 ↗</t>
        </is>
      </c>
      <c r="G12" s="4" t="n">
        <v>1</v>
      </c>
      <c r="H12" s="9" t="n">
        <v>800</v>
      </c>
      <c r="I12" s="10">
        <f>G12*H12</f>
        <v/>
      </c>
      <c r="J12" s="7" t="inlineStr">
        <is>
          <t>勿用 D435i 整机（重 72 g，整机超重）</t>
        </is>
      </c>
    </row>
    <row r="13">
      <c r="A13" s="4" t="n">
        <v>10</v>
      </c>
      <c r="B13" s="13" t="inlineStr">
        <is>
          <t>传感器</t>
        </is>
      </c>
      <c r="C13" s="6" t="inlineStr">
        <is>
          <t>UWB 模块</t>
        </is>
      </c>
      <c r="D13" s="7" t="inlineStr">
        <is>
          <t>Nooploop UWB（DW1000，机间测距）</t>
        </is>
      </c>
      <c r="E13" s="7" t="inlineStr">
        <is>
          <t>LinkTrack P-A（空循环 Nooploop 淘宝官方店）</t>
        </is>
      </c>
      <c r="F13" s="8" t="inlineStr">
        <is>
          <t>打开淘宝搜索 ↗</t>
        </is>
      </c>
      <c r="G13" s="4" t="n">
        <v>1</v>
      </c>
      <c r="H13" s="9" t="n">
        <v>398</v>
      </c>
      <c r="I13" s="10">
        <f>G13*H13</f>
        <v/>
      </c>
      <c r="J13" s="7" t="inlineStr">
        <is>
          <t>每架 1 个；机间相对定位 + 漂移校正</t>
        </is>
      </c>
    </row>
    <row r="14">
      <c r="A14" s="4" t="n">
        <v>11</v>
      </c>
      <c r="B14" s="14" t="inlineStr">
        <is>
          <t>通信遥控</t>
        </is>
      </c>
      <c r="C14" s="6" t="inlineStr">
        <is>
          <t>USB WiFi</t>
        </is>
      </c>
      <c r="D14" s="7" t="inlineStr">
        <is>
          <t>USB 网卡（3.4 g）</t>
        </is>
      </c>
      <c r="E14" s="7" t="inlineStr">
        <is>
          <t>支持 ad-hoc / 802.11s 的 USB 网卡 + 天线</t>
        </is>
      </c>
      <c r="F14" s="8" t="inlineStr">
        <is>
          <t>打开淘宝搜索 ↗</t>
        </is>
      </c>
      <c r="G14" s="4" t="n">
        <v>1</v>
      </c>
      <c r="H14" s="9" t="n">
        <v>50</v>
      </c>
      <c r="I14" s="10">
        <f>G14*H14</f>
        <v/>
      </c>
      <c r="J14" s="7" t="inlineStr">
        <is>
          <t>集群自组网广播轨迹用</t>
        </is>
      </c>
    </row>
    <row r="15">
      <c r="A15" s="4" t="n">
        <v>12</v>
      </c>
      <c r="B15" s="14" t="inlineStr">
        <is>
          <t>通信遥控</t>
        </is>
      </c>
      <c r="C15" s="6" t="inlineStr">
        <is>
          <t>ELRS 接收机</t>
        </is>
      </c>
      <c r="D15" s="7" t="inlineStr">
        <is>
          <t>—</t>
        </is>
      </c>
      <c r="E15" s="7" t="inlineStr">
        <is>
          <t>ELRS 2.4G 接收机</t>
        </is>
      </c>
      <c r="F15" s="8" t="inlineStr">
        <is>
          <t>打开淘宝搜索 ↗</t>
        </is>
      </c>
      <c r="G15" s="4" t="n">
        <v>1</v>
      </c>
      <c r="H15" s="9" t="n">
        <v>30</v>
      </c>
      <c r="I15" s="10">
        <f>G15*H15</f>
        <v/>
      </c>
      <c r="J15" s="7" t="inlineStr">
        <is>
          <t>调试/接管用</t>
        </is>
      </c>
    </row>
    <row r="16">
      <c r="A16" s="4" t="n">
        <v>13</v>
      </c>
      <c r="B16" s="15" t="inlineStr">
        <is>
          <t>共用设备</t>
        </is>
      </c>
      <c r="C16" s="6" t="inlineStr">
        <is>
          <t>遥控器</t>
        </is>
      </c>
      <c r="D16" s="7" t="inlineStr">
        <is>
          <t>—</t>
        </is>
      </c>
      <c r="E16" s="7" t="inlineStr">
        <is>
          <t>RadioMaster Pocket ELRS</t>
        </is>
      </c>
      <c r="F16" s="8" t="inlineStr">
        <is>
          <t>打开淘宝搜索 ↗</t>
        </is>
      </c>
      <c r="G16" s="4" t="n">
        <v>1</v>
      </c>
      <c r="H16" s="9" t="n">
        <v>300</v>
      </c>
      <c r="I16" s="10">
        <f>G16*H16</f>
        <v/>
      </c>
      <c r="J16" s="7" t="inlineStr">
        <is>
          <t>全队共用 1 个</t>
        </is>
      </c>
    </row>
    <row r="17">
      <c r="A17" s="4" t="n">
        <v>14</v>
      </c>
      <c r="B17" s="15" t="inlineStr">
        <is>
          <t>共用设备</t>
        </is>
      </c>
      <c r="C17" s="6" t="inlineStr">
        <is>
          <t>充电器</t>
        </is>
      </c>
      <c r="D17" s="7" t="inlineStr">
        <is>
          <t>—</t>
        </is>
      </c>
      <c r="E17" s="7" t="inlineStr">
        <is>
          <t>ISDT 60AC 平衡充电器</t>
        </is>
      </c>
      <c r="F17" s="8" t="inlineStr">
        <is>
          <t>打开淘宝搜索 ↗</t>
        </is>
      </c>
      <c r="G17" s="4" t="n">
        <v>1</v>
      </c>
      <c r="H17" s="9" t="n">
        <v>200</v>
      </c>
      <c r="I17" s="10">
        <f>G17*H17</f>
        <v/>
      </c>
      <c r="J17" s="7" t="inlineStr">
        <is>
          <t>全队共用</t>
        </is>
      </c>
    </row>
    <row r="18">
      <c r="A18" s="4" t="n">
        <v>15</v>
      </c>
      <c r="B18" s="16" t="inlineStr">
        <is>
          <t>杂项</t>
        </is>
      </c>
      <c r="C18" s="6" t="inlineStr">
        <is>
          <t>线材接插件</t>
        </is>
      </c>
      <c r="D18" s="7" t="inlineStr">
        <is>
          <t>—</t>
        </is>
      </c>
      <c r="E18" s="7" t="inlineStr">
        <is>
          <t>XT30/XT60、硅胶线、20×20 铜柱、热缩管、减震棉</t>
        </is>
      </c>
      <c r="F18" s="8" t="inlineStr">
        <is>
          <t>打开淘宝搜索 ↗</t>
        </is>
      </c>
      <c r="G18" s="4" t="n">
        <v>1</v>
      </c>
      <c r="H18" s="9" t="n">
        <v>200</v>
      </c>
      <c r="I18" s="10">
        <f>G18*H18</f>
        <v/>
      </c>
      <c r="J18" s="7" t="inlineStr"/>
    </row>
    <row r="20">
      <c r="A20" s="17" t="inlineStr">
        <is>
          <t>单机部件合计（每架）</t>
        </is>
      </c>
      <c r="I20" s="18">
        <f>SUM(I4:I18)-SUMIF(B4:B18,"共用设备",I4:I18)</f>
        <v/>
      </c>
      <c r="J20" s="2" t="inlineStr">
        <is>
          <t>每架无人机需要</t>
        </is>
      </c>
    </row>
    <row r="21">
      <c r="A21" s="17" t="inlineStr">
        <is>
          <t>共用设备小计</t>
        </is>
      </c>
      <c r="I21" s="18">
        <f>SUMIF(B4:B18,"共用设备",I4:I18)</f>
        <v/>
      </c>
      <c r="J21" s="2" t="inlineStr">
        <is>
          <t>遥控器、充电器，全队一套</t>
        </is>
      </c>
    </row>
    <row r="22">
      <c r="A22" s="17" t="inlineStr">
        <is>
          <t>UWB 锚点（集群定位）</t>
        </is>
      </c>
      <c r="F22" s="19" t="inlineStr">
        <is>
          <t>打开淘宝搜索 ↗</t>
        </is>
      </c>
      <c r="I22" s="18" t="n">
        <v>1592</v>
      </c>
      <c r="J22" s="2" t="inlineStr">
        <is>
          <t>LinkTrack P-A ×4 固定锚点，论文 S3 节漂移校正用</t>
        </is>
      </c>
    </row>
    <row r="23">
      <c r="A23" s="17" t="inlineStr">
        <is>
          <t>首架全套合计</t>
        </is>
      </c>
      <c r="I23" s="18">
        <f>I20+I21</f>
        <v/>
      </c>
      <c r="J23" s="2" t="inlineStr">
        <is>
          <t>单机 + 共用设备</t>
        </is>
      </c>
    </row>
    <row r="24">
      <c r="A24" s="17" t="inlineStr">
        <is>
          <t>3 机集群总计</t>
        </is>
      </c>
      <c r="I24" s="18">
        <f>I20*3+I21+I22</f>
        <v/>
      </c>
      <c r="J24" s="2" t="inlineStr">
        <is>
          <t>单机 ×3 + 共用 + 锚点</t>
        </is>
      </c>
    </row>
  </sheetData>
  <mergeCells count="7">
    <mergeCell ref="A21:E21"/>
    <mergeCell ref="A1:J1"/>
    <mergeCell ref="A20:E20"/>
    <mergeCell ref="A24:E24"/>
    <mergeCell ref="A23:E23"/>
    <mergeCell ref="A2:J2"/>
    <mergeCell ref="A22:E22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22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5" customWidth="1" min="2" max="2"/>
  </cols>
  <sheetData>
    <row r="1">
      <c r="A1" s="1" t="inlineStr">
        <is>
          <t>整机规格 — Science Robotics abm5954（ZJU FAST-Lab，2022）</t>
        </is>
      </c>
    </row>
    <row r="3">
      <c r="A3" s="3" t="inlineStr">
        <is>
          <t>项目</t>
        </is>
      </c>
      <c r="B3" s="3" t="inlineStr">
        <is>
          <t>参数</t>
        </is>
      </c>
    </row>
    <row r="4">
      <c r="A4" s="20" t="inlineStr">
        <is>
          <t>轴距</t>
        </is>
      </c>
      <c r="B4" s="7" t="inlineStr">
        <is>
          <t>114 mm（3寸机）</t>
        </is>
      </c>
    </row>
    <row r="5">
      <c r="A5" s="20" t="inlineStr">
        <is>
          <t>整机重量</t>
        </is>
      </c>
      <c r="B5" s="7" t="inlineStr">
        <is>
          <t>&lt; 300 g（Table S7 实测 293.5 g）</t>
        </is>
      </c>
    </row>
    <row r="6">
      <c r="A6" s="20" t="inlineStr">
        <is>
          <t>续航</t>
        </is>
      </c>
      <c r="B6" s="7" t="inlineStr">
        <is>
          <t>11 min</t>
        </is>
      </c>
    </row>
    <row r="7">
      <c r="A7" s="20" t="inlineStr">
        <is>
          <t>悬停功率</t>
        </is>
      </c>
      <c r="B7" s="7" t="inlineStr">
        <is>
          <t>~120 W</t>
        </is>
      </c>
    </row>
    <row r="8">
      <c r="A8" s="20" t="inlineStr">
        <is>
          <t>推重比</t>
        </is>
      </c>
      <c r="B8" s="7" t="inlineStr">
        <is>
          <t>2.4</t>
        </is>
      </c>
    </row>
    <row r="9">
      <c r="A9" s="20" t="inlineStr">
        <is>
          <t>电机</t>
        </is>
      </c>
      <c r="B9" s="7" t="inlineStr">
        <is>
          <t>1404 6000KV 无刷 ×4</t>
        </is>
      </c>
    </row>
    <row r="10">
      <c r="A10" s="20" t="inlineStr">
        <is>
          <t>螺旋桨</t>
        </is>
      </c>
      <c r="B10" s="7" t="inlineStr">
        <is>
          <t>3寸三叶，底装（下洗不吹机身）</t>
        </is>
      </c>
    </row>
    <row r="11">
      <c r="A11" s="20" t="inlineStr">
        <is>
          <t>电调</t>
        </is>
      </c>
      <c r="B11" s="7" t="inlineStr">
        <is>
          <t>四合一 15A</t>
        </is>
      </c>
    </row>
    <row r="12">
      <c r="A12" s="20" t="inlineStr">
        <is>
          <t>电池</t>
        </is>
      </c>
      <c r="B12" s="7" t="inlineStr">
        <is>
          <t>2× 2S 3000mAh 串联（标称 ~100 g）※能量密度与重量不自洽，复现按 4S 850–1500mAh LiPo（~150 g）预算</t>
        </is>
      </c>
    </row>
    <row r="13">
      <c r="A13" s="20" t="inlineStr">
        <is>
          <t>飞控</t>
        </is>
      </c>
      <c r="B13" s="7" t="inlineStr">
        <is>
          <t>自研 nano FCU 16×32×8 mm：STM32H7 + BMI088，PX4；无气压计/磁力计/GPS（纯 VIO）</t>
        </is>
      </c>
    </row>
    <row r="14">
      <c r="A14" s="20" t="inlineStr">
        <is>
          <t>机载计算机</t>
        </is>
      </c>
      <c r="B14" s="7" t="inlineStr">
        <is>
          <t>NVIDIA Xavier NX（6核 CPU / 384-core GPU / 8GB）</t>
        </is>
      </c>
    </row>
    <row r="15">
      <c r="A15" s="20" t="inlineStr">
        <is>
          <t>深度相机</t>
        </is>
      </c>
      <c r="B15" s="7" t="inlineStr">
        <is>
          <t>RealSense D430（19 g，深度+双目灰度）</t>
        </is>
      </c>
    </row>
    <row r="16">
      <c r="A16" s="20" t="inlineStr">
        <is>
          <t>UWB</t>
        </is>
      </c>
      <c r="B16" s="7" t="inlineStr">
        <is>
          <t>Nooploop（DW1000，4.7 g）机间测距</t>
        </is>
      </c>
    </row>
    <row r="17">
      <c r="A17" s="20" t="inlineStr">
        <is>
          <t>WiFi</t>
        </is>
      </c>
      <c r="B17" s="7" t="inlineStr">
        <is>
          <t>USB 网卡 3.4 g（自组网广播轨迹，175 B @ 5 Hz+）</t>
        </is>
      </c>
    </row>
    <row r="18">
      <c r="A18" s="20" t="inlineStr">
        <is>
          <t>最大速度（实验）</t>
        </is>
      </c>
      <c r="B18" s="7" t="inlineStr">
        <is>
          <t>1.0–3 m/s（表 S6）</t>
        </is>
      </c>
    </row>
    <row r="19">
      <c r="A19" s="20" t="inlineStr">
        <is>
          <t>规划距离</t>
        </is>
      </c>
      <c r="B19" s="7" t="inlineStr">
        <is>
          <t>7.5 m</t>
        </is>
      </c>
    </row>
    <row r="20">
      <c r="A20" s="20" t="inlineStr">
        <is>
          <t>障碍/集群间隙</t>
        </is>
      </c>
      <c r="B20" s="7" t="inlineStr">
        <is>
          <t>0.3 / 0.5 m</t>
        </is>
      </c>
    </row>
    <row r="22">
      <c r="A22" s="21" t="inlineStr">
        <is>
          <t>Table S7 组件重量明细 (g)</t>
        </is>
      </c>
    </row>
    <row r="23">
      <c r="A23" s="3" t="inlineStr">
        <is>
          <t>组件</t>
        </is>
      </c>
      <c r="B23" s="3" t="inlineStr">
        <is>
          <t>重量 (g)</t>
        </is>
      </c>
    </row>
    <row r="24">
      <c r="A24" s="22" t="inlineStr">
        <is>
          <t>机载计算机</t>
        </is>
      </c>
      <c r="B24" s="23" t="n">
        <v>69.09999999999999</v>
      </c>
    </row>
    <row r="25">
      <c r="A25" s="22" t="inlineStr">
        <is>
          <t>RealSense D430</t>
        </is>
      </c>
      <c r="B25" s="23" t="n">
        <v>19</v>
      </c>
    </row>
    <row r="26">
      <c r="A26" s="22" t="inlineStr">
        <is>
          <t>飞控 FCU</t>
        </is>
      </c>
      <c r="B26" s="23" t="n">
        <v>5.3</v>
      </c>
    </row>
    <row r="27">
      <c r="A27" s="22" t="inlineStr">
        <is>
          <t>UWB</t>
        </is>
      </c>
      <c r="B27" s="23" t="n">
        <v>4.7</v>
      </c>
    </row>
    <row r="28">
      <c r="A28" s="22" t="inlineStr">
        <is>
          <t>电池</t>
        </is>
      </c>
      <c r="B28" s="23" t="n">
        <v>101.4</v>
      </c>
    </row>
    <row r="29">
      <c r="A29" s="22" t="inlineStr">
        <is>
          <t>电调</t>
        </is>
      </c>
      <c r="B29" s="23" t="n">
        <v>4.5</v>
      </c>
    </row>
    <row r="30">
      <c r="A30" s="22" t="inlineStr">
        <is>
          <t>四电机+桨</t>
        </is>
      </c>
      <c r="B30" s="23" t="n">
        <v>42.8</v>
      </c>
    </row>
    <row r="31">
      <c r="A31" s="22" t="inlineStr">
        <is>
          <t>WiFi 适配器</t>
        </is>
      </c>
      <c r="B31" s="23" t="n">
        <v>3.4</v>
      </c>
    </row>
    <row r="32">
      <c r="A32" s="22" t="inlineStr">
        <is>
          <t>机架</t>
        </is>
      </c>
      <c r="B32" s="23" t="n">
        <v>19.5</v>
      </c>
    </row>
    <row r="33">
      <c r="A33" s="22" t="inlineStr">
        <is>
          <t>电源管理模块</t>
        </is>
      </c>
      <c r="B33" s="23" t="n">
        <v>6.5</v>
      </c>
    </row>
    <row r="34">
      <c r="A34" s="22" t="inlineStr">
        <is>
          <t>螺钉、线缆等</t>
        </is>
      </c>
      <c r="B34" s="23" t="n">
        <v>17.3</v>
      </c>
    </row>
    <row r="35">
      <c r="A35" s="24" t="inlineStr">
        <is>
          <t>总计</t>
        </is>
      </c>
      <c r="B35" s="25" t="n">
        <v>293.5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参考链接</t>
        </is>
      </c>
    </row>
    <row r="2">
      <c r="A2" t="inlineStr">
        <is>
          <t>论文 PDF（含 Palm-sized drone hardware）</t>
        </is>
      </c>
      <c r="B2" s="26" t="inlineStr">
        <is>
          <t>https://zhepeiwang.github.io/pubs/sr_2022_swarm.pdf</t>
        </is>
      </c>
    </row>
    <row r="3">
      <c r="A3" t="inlineStr">
        <is>
          <t>Science Robotics 页面</t>
        </is>
      </c>
      <c r="B3" s="26" t="inlineStr">
        <is>
          <t>https://www.science.org/doi/10.1126/scirobotics.abm5954</t>
        </is>
      </c>
    </row>
    <row r="4">
      <c r="A4" t="inlineStr">
        <is>
          <t>Nxt-FC GitHub（Micoair 量产渠道说明）</t>
        </is>
      </c>
      <c r="B4" s="26" t="inlineStr">
        <is>
          <t>https://github.com/HKUST-Aerial-Robotics/Nxt-FC</t>
        </is>
      </c>
    </row>
    <row r="5">
      <c r="A5" t="inlineStr">
        <is>
          <t>Micoair 米空科技官网</t>
        </is>
      </c>
      <c r="B5" s="26" t="inlineStr">
        <is>
          <t>https://micoair.cn</t>
        </is>
      </c>
    </row>
    <row r="6">
      <c r="A6" t="inlineStr">
        <is>
          <t>Nooploop 空循环官网（LinkTrack）</t>
        </is>
      </c>
      <c r="B6" s="26" t="inlineStr">
        <is>
          <t>https://www.nooploop.com</t>
        </is>
      </c>
    </row>
    <row r="7">
      <c r="A7" t="inlineStr">
        <is>
          <t>EGO-Planner-v2（论文配套代码）</t>
        </is>
      </c>
      <c r="B7" s="26" t="inlineStr">
        <is>
          <t>https://github.com/ZJU-FAST-Lab/EGO-Planner-v2</t>
        </is>
      </c>
    </row>
    <row r="8">
      <c r="A8" t="inlineStr">
        <is>
          <t>Swarm-Formation（本仓库）</t>
        </is>
      </c>
      <c r="B8" s="26" t="inlineStr">
        <is>
          <t>https://github.com/ZJU-FAST-Lab/Swarm-Formation</t>
        </is>
      </c>
    </row>
    <row r="9">
      <c r="A9" t="inlineStr">
        <is>
          <t>Fast-Drone-250（放大版参考方案+B站教程）</t>
        </is>
      </c>
      <c r="B9" s="26" t="inlineStr">
        <is>
          <t>https://github.com/ZJU-FAST-Lab/Fast-Drone-250</t>
        </is>
      </c>
    </row>
    <row r="10">
      <c r="A10" t="inlineStr">
        <is>
          <t>淘宝搜索：Jetson Orin Nano 套件</t>
        </is>
      </c>
      <c r="B10" s="26" t="inlineStr">
        <is>
          <t>https://s.taobao.com/search?q=Jetson%20Orin%20Nano%20%E5%A5%97%E4%BB%B6</t>
        </is>
      </c>
    </row>
    <row r="11">
      <c r="A11" t="inlineStr">
        <is>
          <t>淘宝搜索：3寸机架</t>
        </is>
      </c>
      <c r="B11" s="26" t="inlineStr">
        <is>
          <t>https://s.taobao.com/search?q=3%E5%AF%B8%20%E7%A9%BF%E8%B6%8A%E6%9C%BA%E6%9C%BA%E6%9E%B6%20%E7%A2%B3%E7%BA%A4%E7%BB%B4</t>
        </is>
      </c>
    </row>
  </sheetData>
  <mergeCells count="1">
    <mergeCell ref="A1:B1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2026-10-22T08:25:02Z</dcterms:created>
  <dcterms:modified xmlns:dcterms="http://purl.org/dc/terms/" xmlns:xsi="http://www.w3.org/2001/XMLSchema-instance" xsi:type="dcterms:W3CDTF">2026-10-22T08:25:02Z</dcterms:modified>
</cp:coreProperties>
</file>